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Mapeo" sheetId="1" state="visible" r:id="rId3"/>
    <sheet name="Justificación" sheetId="2" state="visible" r:id="rId4"/>
    <sheet name="Datos de Respald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<sst xmlns="http://schemas.openxmlformats.org/spreadsheetml/2006/main" count="98" uniqueCount="87">
  <si>
    <t xml:space="preserve">ESCENARIO 5 — Matriz de mapeo tarea · característica · prioridad (ISO/IEC 25022)</t>
  </si>
  <si>
    <t xml:space="preserve">Caso: Red Hospitalaria MediSalud Ecuador — Sistema MediSalud HIS   |   Insumo: fichas Usuario–Tarea–Contexto del Escenario 4   |   Grupo 4</t>
  </si>
  <si>
    <t xml:space="preserve">#</t>
  </si>
  <si>
    <t xml:space="preserve">Tarea representativa</t>
  </si>
  <si>
    <t xml:space="preserve">Proceso de negocio</t>
  </si>
  <si>
    <t xml:space="preserve">Usuario primario</t>
  </si>
  <si>
    <t xml:space="preserve">Impacto en el negocio</t>
  </si>
  <si>
    <t xml:space="preserve">Frecuencia de la tarea</t>
  </si>
  <si>
    <t xml:space="preserve">Característica(s) ISO/IEC 25022</t>
  </si>
  <si>
    <t xml:space="preserve">Prioridad</t>
  </si>
  <si>
    <t xml:space="preserve">Clasificación</t>
  </si>
  <si>
    <t xml:space="preserve">Registrar una nota de evolución clínica completa de un paciente</t>
  </si>
  <si>
    <t xml:space="preserve">Atención médica y registro de HCE</t>
  </si>
  <si>
    <t xml:space="preserve">Médico tratante</t>
  </si>
  <si>
    <t xml:space="preserve">Alto</t>
  </si>
  <si>
    <t xml:space="preserve">Alta</t>
  </si>
  <si>
    <t xml:space="preserve">Eficiencia, Efectividad, Satisfacción, Libertad de Riesgo</t>
  </si>
  <si>
    <t xml:space="preserve">Agendar una cita médica disponible en máximo 3 pasos, sin errores de disponibilidad</t>
  </si>
  <si>
    <t xml:space="preserve">Agendamiento y admisión de pacientes</t>
  </si>
  <si>
    <t xml:space="preserve">Paciente (portal/app)</t>
  </si>
  <si>
    <t xml:space="preserve">Efectividad, Satisfacción, Cobertura de Contexto</t>
  </si>
  <si>
    <t xml:space="preserve">Facturar una consulta con seguro médico sin generar cobro duplicado</t>
  </si>
  <si>
    <t xml:space="preserve">Facturación y gestión de seguros/reaseguros</t>
  </si>
  <si>
    <t xml:space="preserve">Personal de admisión</t>
  </si>
  <si>
    <t xml:space="preserve">Media</t>
  </si>
  <si>
    <t xml:space="preserve">Libertad de Riesgo, Efectividad</t>
  </si>
  <si>
    <t xml:space="preserve">Completar una teleconsulta sin caídas de conexión</t>
  </si>
  <si>
    <t xml:space="preserve">Telemedicina y seguimiento remoto</t>
  </si>
  <si>
    <t xml:space="preserve">Paciente (app móvil)</t>
  </si>
  <si>
    <t xml:space="preserve">Medio</t>
  </si>
  <si>
    <t xml:space="preserve">Efectividad, Cobertura de Contexto</t>
  </si>
  <si>
    <t xml:space="preserve">Dispensar un medicamento sin error de medicación</t>
  </si>
  <si>
    <t xml:space="preserve">Prescripción y dispensación de medicamentos</t>
  </si>
  <si>
    <t xml:space="preserve">Personal de farmacia</t>
  </si>
  <si>
    <t xml:space="preserve">Generar / consultar un reporte gerencial de indicadores</t>
  </si>
  <si>
    <t xml:space="preserve">Generación de reportes gerenciales</t>
  </si>
  <si>
    <t xml:space="preserve">Gerencia / Calidad</t>
  </si>
  <si>
    <t xml:space="preserve">Bajo</t>
  </si>
  <si>
    <t xml:space="preserve">Baja</t>
  </si>
  <si>
    <t xml:space="preserve">Satisfacción, Efectividad</t>
  </si>
  <si>
    <t xml:space="preserve">Regla de priorización (Escenario 5.1.2, extendida)</t>
  </si>
  <si>
    <t xml:space="preserve">Prioridad 1 — Crítica</t>
  </si>
  <si>
    <t xml:space="preserve">Impacto Alto y Frecuencia Alta. Se mide desde el inicio del programa.</t>
  </si>
  <si>
    <t xml:space="preserve">Prioridad 2 — Importante</t>
  </si>
  <si>
    <t xml:space="preserve">Impacto Alto y Frecuencia Media; o Impacto Medio con Frecuencia Media/Alta. Se mide en el programa base.</t>
  </si>
  <si>
    <t xml:space="preserve">Prioridad 3 — Diferible</t>
  </si>
  <si>
    <t xml:space="preserve">Impacto Bajo, o Frecuencia Baja. Se mide en fases posteriores.</t>
  </si>
  <si>
    <t xml:space="preserve">Nota: la columna Prioridad se calcula automáticamente a partir de Impacto y Frecuencia. Las celdas de Impacto y Frecuencia tienen lista desplegable; al cambiarlas, la Prioridad y la Clasificación se recalculan. Las tareas 1–3 provienen de las fichas del Escenario 4; las tareas 4–6 completan los 6 procesos críticos del Escenario 1 (mínimo exigido: 6 tareas).</t>
  </si>
  <si>
    <t xml:space="preserve">Fundamento de Impacto y Frecuencia — basado en evidencia (RNF, objetivos e incidentes reales)</t>
  </si>
  <si>
    <t xml:space="preserve">Tarea</t>
  </si>
  <si>
    <t xml:space="preserve">Impacto — justificación</t>
  </si>
  <si>
    <t xml:space="preserve">Frecuencia — justificación</t>
  </si>
  <si>
    <t xml:space="preserve">1. Registrar nota de evolución clínica (HCE)</t>
  </si>
  <si>
    <t xml:space="preserve">ALTO. Riesgo clínico directo (una demora retrasa decisiones médicas); ligado a RNF-01 y al Objetivo de Negocio #1. Es el módulo con más incidentes reales: 769 de 3.001.</t>
  </si>
  <si>
    <t xml:space="preserve">ALTA. 640 médicos tratantes activos; el registro de la nota es la tarea núcleo de cada consulta externa, ejecutada muchas veces al día.</t>
  </si>
  <si>
    <t xml:space="preserve">1</t>
  </si>
  <si>
    <t xml:space="preserve">2. Agendar cita en portal/app</t>
  </si>
  <si>
    <t xml:space="preserve">ALTO. Es la puerta de entrada de 38.000+ pacientes/mes; la fricción impacta la retención (riesgo reputacional). Sujeta a RNF-02.</t>
  </si>
  <si>
    <t xml:space="preserve">ALTA. Portal Citas es el 2.º módulo con más incidentes (545) y sirve a un volumen masivo de pacientes.</t>
  </si>
  <si>
    <t xml:space="preserve">3. Facturar consulta con seguro</t>
  </si>
  <si>
    <t xml:space="preserve">ALTO. Riesgo financiero directo (flujo de caja y relación con aseguradoras). Sujeta a RNF-03 y al Objetivo de Negocio #2. 425 incidentes reales.</t>
  </si>
  <si>
    <t xml:space="preserve">MEDIA. La facturación con seguro es un subconjunto de las transacciones (no toda consulta usa seguro); volumen relevante pero inferior a HCE y Citas.</t>
  </si>
  <si>
    <t xml:space="preserve">2</t>
  </si>
  <si>
    <t xml:space="preserve">4. Completar teleconsulta</t>
  </si>
  <si>
    <t xml:space="preserve">MEDIO. Servicio en expansión desde 2022, de criticidad secundaria frente al núcleo (Escenario 1); no obstante sujeto a RNF-05 y al Objetivo #3 (95 % de finalización).</t>
  </si>
  <si>
    <t xml:space="preserve">MEDIA. Telemedicina registra 320 incidentes; volumen creciente pero aún menor que los procesos núcleo.</t>
  </si>
  <si>
    <t xml:space="preserve">5. Dispensar medicamento (Farmacia)</t>
  </si>
  <si>
    <t xml:space="preserve">MEDIO. Un error de dispensación implica riesgo clínico, pero el proceso no tiene RNF asociado y afecta a menos usuarios (85). 258 incidentes reales.</t>
  </si>
  <si>
    <t xml:space="preserve">MEDIA. Dispensación recurrente, pero concentrada en los 85 usuarios del área de farmacia.</t>
  </si>
  <si>
    <t xml:space="preserve">6. Generar/consultar reporte gerencial</t>
  </si>
  <si>
    <t xml:space="preserve">BAJO. Sin RNF asociado; no afecta la atención clínica ni la facturación en tiempo real. Es el módulo con menos incidentes de todo el sistema (88).</t>
  </si>
  <si>
    <t xml:space="preserve">BAJA. 45 usuarios de Gerencia/Calidad; uso periódico (mensual/trimestral), no operativo diario.</t>
  </si>
  <si>
    <t xml:space="preserve">3</t>
  </si>
  <si>
    <t xml:space="preserve">Datos de respaldo — incidentes reales por módulo (fuente: incidentes_2025_iso_25022.csv, n=3.000)</t>
  </si>
  <si>
    <t xml:space="preserve">Módulo del sistema</t>
  </si>
  <si>
    <t xml:space="preserve">Incidentes reportados</t>
  </si>
  <si>
    <t xml:space="preserve">HCE</t>
  </si>
  <si>
    <t xml:space="preserve">Portal Citas</t>
  </si>
  <si>
    <t xml:space="preserve">Facturación</t>
  </si>
  <si>
    <t xml:space="preserve">Telemedicina</t>
  </si>
  <si>
    <t xml:space="preserve">App Móvil</t>
  </si>
  <si>
    <t xml:space="preserve">Farmacia</t>
  </si>
  <si>
    <t xml:space="preserve">Laboratorio</t>
  </si>
  <si>
    <t xml:space="preserve">Imagenología</t>
  </si>
  <si>
    <t xml:space="preserve">Reportes Gerenciales</t>
  </si>
  <si>
    <t xml:space="preserve">TOTAL</t>
  </si>
  <si>
    <t xml:space="preserve">Estos volúmenes sustentan las columnas Impacto y Frecuencia de la matriz: la priorización se apoya en evidencia, no en percepción — el objetivo de fondo del programa de MediSalud.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</si>
</sst>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D9D9D9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6" min="5" style="0" width="13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5.75" hidden="false" customHeight="true" outlineLevel="0" collapsed="false">
      <c r="A5" s="4" t="n">
        <v>1</v>
      </c>
      <c r="B5" s="5" t="s">
        <v>11</v>
      </c>
      <c r="C5" s="5" t="s">
        <v>12</v>
      </c>
      <c r="D5" s="5" t="s">
        <v>13</v>
      </c>
      <c r="E5" s="4" t="s">
        <v>14</v>
      </c>
      <c r="F5" s="4" t="s">
        <v>15</v>
      </c>
      <c r="G5" s="5" t="s">
        <v>16</v>
      </c>
      <c r="H5" s="6" t="n">
        <f aca="false">IF(AND(E5="Alto",F5="Alta"),1,IF(AND(E5="Alto",F5="Media"),2,IF(AND(E5="Medio",OR(F5="Alta",F5="Media")),2,3)))</f>
        <v>1</v>
      </c>
      <c r="I5" s="4" t="str">
        <f aca="false">IF(H5=1,"Crítica",IF(H5=2,"Importante","Diferible"))</f>
        <v>Crítica</v>
      </c>
    </row>
    <row r="6" customFormat="false" ht="45.75" hidden="false" customHeight="true" outlineLevel="0" collapsed="false">
      <c r="A6" s="7" t="n">
        <v>2</v>
      </c>
      <c r="B6" s="8" t="s">
        <v>17</v>
      </c>
      <c r="C6" s="8" t="s">
        <v>18</v>
      </c>
      <c r="D6" s="8" t="s">
        <v>19</v>
      </c>
      <c r="E6" s="7" t="s">
        <v>14</v>
      </c>
      <c r="F6" s="7" t="s">
        <v>15</v>
      </c>
      <c r="G6" s="8" t="s">
        <v>20</v>
      </c>
      <c r="H6" s="9" t="n">
        <f aca="false">IF(AND(E6="Alto",F6="Alta"),1,IF(AND(E6="Alto",F6="Media"),2,IF(AND(E6="Medio",OR(F6="Alta",F6="Media")),2,3)))</f>
        <v>1</v>
      </c>
      <c r="I6" s="7" t="str">
        <f aca="false">IF(H6=1,"Crítica",IF(H6=2,"Importante","Diferible"))</f>
        <v>Crítica</v>
      </c>
    </row>
    <row r="7" customFormat="false" ht="45.75" hidden="false" customHeight="true" outlineLevel="0" collapsed="false">
      <c r="A7" s="4" t="n">
        <v>3</v>
      </c>
      <c r="B7" s="5" t="s">
        <v>21</v>
      </c>
      <c r="C7" s="5" t="s">
        <v>22</v>
      </c>
      <c r="D7" s="5" t="s">
        <v>23</v>
      </c>
      <c r="E7" s="4" t="s">
        <v>14</v>
      </c>
      <c r="F7" s="4" t="s">
        <v>24</v>
      </c>
      <c r="G7" s="5" t="s">
        <v>25</v>
      </c>
      <c r="H7" s="6" t="n">
        <f aca="false">IF(AND(E7="Alto",F7="Alta"),1,IF(AND(E7="Alto",F7="Media"),2,IF(AND(E7="Medio",OR(F7="Alta",F7="Media")),2,3)))</f>
        <v>2</v>
      </c>
      <c r="I7" s="4" t="str">
        <f aca="false">IF(H7=1,"Crítica",IF(H7=2,"Importante","Diferible"))</f>
        <v>Importante</v>
      </c>
    </row>
    <row r="8" customFormat="false" ht="45.75" hidden="false" customHeight="true" outlineLevel="0" collapsed="false">
      <c r="A8" s="7" t="n">
        <v>4</v>
      </c>
      <c r="B8" s="8" t="s">
        <v>26</v>
      </c>
      <c r="C8" s="8" t="s">
        <v>27</v>
      </c>
      <c r="D8" s="8" t="s">
        <v>28</v>
      </c>
      <c r="E8" s="7" t="s">
        <v>29</v>
      </c>
      <c r="F8" s="7" t="s">
        <v>24</v>
      </c>
      <c r="G8" s="8" t="s">
        <v>30</v>
      </c>
      <c r="H8" s="9" t="n">
        <f aca="false">IF(AND(E8="Alto",F8="Alta"),1,IF(AND(E8="Alto",F8="Media"),2,IF(AND(E8="Medio",OR(F8="Alta",F8="Media")),2,3)))</f>
        <v>2</v>
      </c>
      <c r="I8" s="7" t="str">
        <f aca="false">IF(H8=1,"Crítica",IF(H8=2,"Importante","Diferible"))</f>
        <v>Importante</v>
      </c>
    </row>
    <row r="9" customFormat="false" ht="45.75" hidden="false" customHeight="true" outlineLevel="0" collapsed="false">
      <c r="A9" s="4" t="n">
        <v>5</v>
      </c>
      <c r="B9" s="5" t="s">
        <v>31</v>
      </c>
      <c r="C9" s="5" t="s">
        <v>32</v>
      </c>
      <c r="D9" s="5" t="s">
        <v>33</v>
      </c>
      <c r="E9" s="4" t="s">
        <v>29</v>
      </c>
      <c r="F9" s="4" t="s">
        <v>24</v>
      </c>
      <c r="G9" s="5" t="s">
        <v>25</v>
      </c>
      <c r="H9" s="6" t="n">
        <f aca="false">IF(AND(E9="Alto",F9="Alta"),1,IF(AND(E9="Alto",F9="Media"),2,IF(AND(E9="Medio",OR(F9="Alta",F9="Media")),2,3)))</f>
        <v>2</v>
      </c>
      <c r="I9" s="4" t="str">
        <f aca="false">IF(H9=1,"Crítica",IF(H9=2,"Importante","Diferible"))</f>
        <v>Importante</v>
      </c>
    </row>
    <row r="10" customFormat="false" ht="45.75" hidden="false" customHeight="true" outlineLevel="0" collapsed="false">
      <c r="A10" s="7" t="n">
        <v>6</v>
      </c>
      <c r="B10" s="8" t="s">
        <v>34</v>
      </c>
      <c r="C10" s="8" t="s">
        <v>35</v>
      </c>
      <c r="D10" s="8" t="s">
        <v>36</v>
      </c>
      <c r="E10" s="7" t="s">
        <v>37</v>
      </c>
      <c r="F10" s="7" t="s">
        <v>38</v>
      </c>
      <c r="G10" s="8" t="s">
        <v>39</v>
      </c>
      <c r="H10" s="9" t="n">
        <f aca="false">IF(AND(E10="Alto",F10="Alta"),1,IF(AND(E10="Alto",F10="Media"),2,IF(AND(E10="Medio",OR(F10="Alta",F10="Media")),2,3)))</f>
        <v>3</v>
      </c>
      <c r="I10" s="7" t="str">
        <f aca="false">IF(H10=1,"Crítica",IF(H10=2,"Importante","Diferible"))</f>
        <v>Diferible</v>
      </c>
    </row>
    <row r="12" customFormat="false" ht="15" hidden="false" customHeight="false" outlineLevel="0" collapsed="false">
      <c r="A12" s="10" t="s">
        <v>40</v>
      </c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11" t="s">
        <v>41</v>
      </c>
      <c r="B13" s="11"/>
      <c r="C13" s="12" t="s">
        <v>42</v>
      </c>
      <c r="D13" s="12"/>
      <c r="E13" s="12"/>
      <c r="F13" s="12"/>
      <c r="G13" s="12"/>
      <c r="H13" s="12"/>
      <c r="I13" s="12"/>
    </row>
    <row r="14" customFormat="false" ht="15" hidden="false" customHeight="true" outlineLevel="0" collapsed="false">
      <c r="A14" s="13" t="s">
        <v>43</v>
      </c>
      <c r="B14" s="13"/>
      <c r="C14" s="12" t="s">
        <v>44</v>
      </c>
      <c r="D14" s="12"/>
      <c r="E14" s="12"/>
      <c r="F14" s="12"/>
      <c r="G14" s="12"/>
      <c r="H14" s="12"/>
      <c r="I14" s="12"/>
    </row>
    <row r="15" customFormat="false" ht="15" hidden="false" customHeight="true" outlineLevel="0" collapsed="false">
      <c r="A15" s="14" t="s">
        <v>45</v>
      </c>
      <c r="B15" s="14"/>
      <c r="C15" s="12" t="s">
        <v>46</v>
      </c>
      <c r="D15" s="12"/>
      <c r="E15" s="12"/>
      <c r="F15" s="12"/>
      <c r="G15" s="12"/>
      <c r="H15" s="12"/>
      <c r="I15" s="12"/>
    </row>
    <row r="17" customFormat="false" ht="42" hidden="false" customHeight="true" outlineLevel="0" collapsed="false">
      <c r="A17" s="15" t="s">
        <v>47</v>
      </c>
      <c r="B17" s="15"/>
      <c r="C17" s="15"/>
      <c r="D17" s="15"/>
      <c r="E17" s="15"/>
      <c r="F17" s="15"/>
      <c r="G17" s="15"/>
      <c r="H17" s="15"/>
      <c r="I17" s="15"/>
    </row>
  </sheetData>
  <mergeCells count="10">
    <mergeCell ref="A1:I1"/>
    <mergeCell ref="A2:I2"/>
    <mergeCell ref="A12:I12"/>
    <mergeCell ref="A13:B13"/>
    <mergeCell ref="C13:I13"/>
    <mergeCell ref="A14:B14"/>
    <mergeCell ref="C14:I14"/>
    <mergeCell ref="A15:B15"/>
    <mergeCell ref="C15:I15"/>
    <mergeCell ref="A17:I17"/>
  </mergeCells>
  <conditionalFormatting sqref="H5:H10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equal" aboveAverage="0" equalAverage="0" bottom="0" percent="0" rank="0" text="" dxfId="2">
      <formula>3</formula>
    </cfRule>
  </conditionalFormatting>
  <dataValidations count="2">
    <dataValidation allowBlank="false" errorStyle="stop" operator="between" showDropDown="false" showErrorMessage="false" showInputMessage="false" sqref="E5:E10" type="list">
      <formula1>"Alto,Medio,Bajo"</formula1>
      <formula2>0</formula2>
    </dataValidation>
    <dataValidation allowBlank="false" errorStyle="stop" operator="between" showDropDown="false" showErrorMessage="false" showInputMessage="false" sqref="F5:F10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48"/>
    <col collapsed="false" customWidth="true" hidden="false" outlineLevel="0" max="4" min="4" style="0" width="10"/>
  </cols>
  <sheetData>
    <row r="1" customFormat="false" ht="25.5" hidden="false" customHeight="true" outlineLevel="0" collapsed="false">
      <c r="A1" s="16" t="s">
        <v>48</v>
      </c>
      <c r="B1" s="16"/>
      <c r="C1" s="16"/>
      <c r="D1" s="16"/>
    </row>
    <row r="3" customFormat="false" ht="30" hidden="false" customHeight="true" outlineLevel="0" collapsed="false">
      <c r="A3" s="3" t="s">
        <v>49</v>
      </c>
      <c r="B3" s="3" t="s">
        <v>50</v>
      </c>
      <c r="C3" s="3" t="s">
        <v>51</v>
      </c>
      <c r="D3" s="3" t="s">
        <v>9</v>
      </c>
    </row>
    <row r="4" customFormat="false" ht="60" hidden="false" customHeight="true" outlineLevel="0" collapsed="false">
      <c r="A4" s="17" t="s">
        <v>52</v>
      </c>
      <c r="B4" s="5" t="s">
        <v>53</v>
      </c>
      <c r="C4" s="5" t="s">
        <v>54</v>
      </c>
      <c r="D4" s="4" t="s">
        <v>55</v>
      </c>
    </row>
    <row r="5" customFormat="false" ht="60" hidden="false" customHeight="true" outlineLevel="0" collapsed="false">
      <c r="A5" s="18" t="s">
        <v>56</v>
      </c>
      <c r="B5" s="8" t="s">
        <v>57</v>
      </c>
      <c r="C5" s="8" t="s">
        <v>58</v>
      </c>
      <c r="D5" s="7" t="s">
        <v>55</v>
      </c>
    </row>
    <row r="6" customFormat="false" ht="60" hidden="false" customHeight="true" outlineLevel="0" collapsed="false">
      <c r="A6" s="17" t="s">
        <v>59</v>
      </c>
      <c r="B6" s="5" t="s">
        <v>60</v>
      </c>
      <c r="C6" s="5" t="s">
        <v>61</v>
      </c>
      <c r="D6" s="4" t="s">
        <v>62</v>
      </c>
    </row>
    <row r="7" customFormat="false" ht="60" hidden="false" customHeight="true" outlineLevel="0" collapsed="false">
      <c r="A7" s="18" t="s">
        <v>63</v>
      </c>
      <c r="B7" s="8" t="s">
        <v>64</v>
      </c>
      <c r="C7" s="8" t="s">
        <v>65</v>
      </c>
      <c r="D7" s="7" t="s">
        <v>62</v>
      </c>
    </row>
    <row r="8" customFormat="false" ht="60" hidden="false" customHeight="true" outlineLevel="0" collapsed="false">
      <c r="A8" s="17" t="s">
        <v>66</v>
      </c>
      <c r="B8" s="5" t="s">
        <v>67</v>
      </c>
      <c r="C8" s="5" t="s">
        <v>68</v>
      </c>
      <c r="D8" s="4" t="s">
        <v>62</v>
      </c>
    </row>
    <row r="9" customFormat="false" ht="60" hidden="false" customHeight="true" outlineLevel="0" collapsed="false">
      <c r="A9" s="18" t="s">
        <v>69</v>
      </c>
      <c r="B9" s="8" t="s">
        <v>70</v>
      </c>
      <c r="C9" s="8" t="s">
        <v>71</v>
      </c>
      <c r="D9" s="7" t="s">
        <v>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9" t="s">
        <v>73</v>
      </c>
      <c r="B1" s="19"/>
    </row>
    <row r="3" customFormat="false" ht="26.85" hidden="false" customHeight="false" outlineLevel="0" collapsed="false">
      <c r="A3" s="3" t="s">
        <v>74</v>
      </c>
      <c r="B3" s="3" t="s">
        <v>75</v>
      </c>
    </row>
    <row r="4" customFormat="false" ht="15" hidden="false" customHeight="false" outlineLevel="0" collapsed="false">
      <c r="A4" s="5" t="s">
        <v>76</v>
      </c>
      <c r="B4" s="4" t="n">
        <v>769</v>
      </c>
    </row>
    <row r="5" customFormat="false" ht="15" hidden="false" customHeight="false" outlineLevel="0" collapsed="false">
      <c r="A5" s="8" t="s">
        <v>77</v>
      </c>
      <c r="B5" s="7" t="n">
        <v>545</v>
      </c>
    </row>
    <row r="6" customFormat="false" ht="15" hidden="false" customHeight="false" outlineLevel="0" collapsed="false">
      <c r="A6" s="5" t="s">
        <v>78</v>
      </c>
      <c r="B6" s="4" t="n">
        <v>425</v>
      </c>
    </row>
    <row r="7" customFormat="false" ht="15" hidden="false" customHeight="false" outlineLevel="0" collapsed="false">
      <c r="A7" s="8" t="s">
        <v>79</v>
      </c>
      <c r="B7" s="7" t="n">
        <v>320</v>
      </c>
    </row>
    <row r="8" customFormat="false" ht="15" hidden="false" customHeight="false" outlineLevel="0" collapsed="false">
      <c r="A8" s="5" t="s">
        <v>80</v>
      </c>
      <c r="B8" s="4" t="n">
        <v>278</v>
      </c>
    </row>
    <row r="9" customFormat="false" ht="15" hidden="false" customHeight="false" outlineLevel="0" collapsed="false">
      <c r="A9" s="8" t="s">
        <v>81</v>
      </c>
      <c r="B9" s="7" t="n">
        <v>258</v>
      </c>
    </row>
    <row r="10" customFormat="false" ht="15" hidden="false" customHeight="false" outlineLevel="0" collapsed="false">
      <c r="A10" s="5" t="s">
        <v>82</v>
      </c>
      <c r="B10" s="4" t="n">
        <v>166</v>
      </c>
    </row>
    <row r="11" customFormat="false" ht="15" hidden="false" customHeight="false" outlineLevel="0" collapsed="false">
      <c r="A11" s="8" t="s">
        <v>83</v>
      </c>
      <c r="B11" s="7" t="n">
        <v>151</v>
      </c>
    </row>
    <row r="12" customFormat="false" ht="15" hidden="false" customHeight="false" outlineLevel="0" collapsed="false">
      <c r="A12" s="5" t="s">
        <v>84</v>
      </c>
      <c r="B12" s="4" t="n">
        <v>88</v>
      </c>
    </row>
    <row r="13" customFormat="false" ht="15" hidden="false" customHeight="false" outlineLevel="0" collapsed="false">
      <c r="A13" s="20" t="s">
        <v>85</v>
      </c>
      <c r="B13" s="21" t="n">
        <f aca="false">SUM(B4:B12)</f>
        <v>3000</v>
      </c>
    </row>
    <row r="15" customFormat="false" ht="42" hidden="false" customHeight="true" outlineLevel="0" collapsed="false">
      <c r="A15" s="15" t="s">
        <v>86</v>
      </c>
      <c r="B15" s="15"/>
    </row>
  </sheetData>
  <mergeCells count="2">
    <mergeCell ref="A1:B1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2026-07-13T22:34:40Z</dcterms:created>
  <dc:creator>openpyxl</dc:creator>
  <dc:description/>
  <dc:language>en-US</dc:language>
  <cp:lastModifiedBy/>
  <dcterms:modified xsi:type="dcterms:W3CDTF">2026-07-13T22:34:40Z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